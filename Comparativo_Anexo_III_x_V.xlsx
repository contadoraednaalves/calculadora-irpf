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[Red]-R$ #,##0.00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</font>
    <font>
      <name val="Arial"/>
      <b val="1"/>
      <color rgb="00006100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6" fillId="0" borderId="1" pivotButton="0" quotePrefix="0" xfId="0"/>
    <xf numFmtId="0" fontId="4" fillId="0" borderId="1" pivotButton="0" quotePrefix="0" xfId="0"/>
    <xf numFmtId="0" fontId="7" fillId="0" borderId="1" applyAlignment="1" pivotButton="0" quotePrefix="0" xfId="0">
      <alignment horizontal="center"/>
    </xf>
    <xf numFmtId="0" fontId="0" fillId="0" borderId="1" pivotButton="0" quotePrefix="0" xfId="0"/>
    <xf numFmtId="164" fontId="7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Contabilidade</author>
  </authors>
  <commentList>
    <comment ref="A6" authorId="0" shapeId="0">
      <text>
        <t>Anexo V: valor do DAS deduzido do total anotado (10.659,11 − 445,18 − 534,93 = 9.679,00).</t>
      </text>
    </comment>
    <comment ref="A16" authorId="0" shapeId="0">
      <text>
        <t>Valores conforme anotação: Anexo III 15.363,40 / Anexo V 15.343,40. Conferir – normalmente seria o mesmo valor nos dois cenários.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</cols>
  <sheetData>
    <row r="1">
      <c r="A1" s="1" t="inlineStr">
        <is>
          <t>Planejamento Tributário – Simples Nacional Anexo III x Anexo V</t>
        </is>
      </c>
    </row>
    <row r="2">
      <c r="A2" s="2" t="inlineStr">
        <is>
          <t>Cliente: ____________________     Ano-calendário: ______     Rendas: CLT + Cooperativa + Empresa (pró-labore e lucros)</t>
        </is>
      </c>
    </row>
    <row r="4">
      <c r="A4" s="3" t="inlineStr">
        <is>
          <t>Descrição</t>
        </is>
      </c>
      <c r="B4" s="3" t="inlineStr">
        <is>
          <t>Anexo III</t>
        </is>
      </c>
      <c r="C4" s="3" t="inlineStr">
        <is>
          <t>Anexo V</t>
        </is>
      </c>
    </row>
    <row r="5">
      <c r="A5" s="4" t="inlineStr">
        <is>
          <t>1. Tributos pagos pela EMPRESA (no ano)</t>
        </is>
      </c>
      <c r="B5" s="5" t="n"/>
      <c r="C5" s="5" t="n"/>
    </row>
    <row r="6">
      <c r="A6" s="6" t="inlineStr">
        <is>
          <t>DAS – Simples Nacional</t>
        </is>
      </c>
      <c r="B6" s="7" t="n">
        <v>4380</v>
      </c>
      <c r="C6" s="7" t="n">
        <v>9679</v>
      </c>
    </row>
    <row r="7">
      <c r="A7" s="6" t="inlineStr">
        <is>
          <t>IRRF sobre pró-labore</t>
        </is>
      </c>
      <c r="B7" s="7" t="n">
        <v>1540</v>
      </c>
      <c r="C7" s="7" t="n">
        <v>445.18</v>
      </c>
    </row>
    <row r="8">
      <c r="A8" s="6" t="inlineStr">
        <is>
          <t>INSS sobre pró-labore</t>
        </is>
      </c>
      <c r="B8" s="7" t="n">
        <v>1848</v>
      </c>
      <c r="C8" s="7" t="n">
        <v>534.9299999999999</v>
      </c>
    </row>
    <row r="9">
      <c r="A9" s="8" t="inlineStr">
        <is>
          <t>Total tributos da empresa</t>
        </is>
      </c>
      <c r="B9" s="9">
        <f>SUM(B6:B8)</f>
        <v/>
      </c>
      <c r="C9" s="9">
        <f>SUM(C6:C8)</f>
        <v/>
      </c>
    </row>
    <row r="10"/>
    <row r="11">
      <c r="A11" s="4" t="inlineStr">
        <is>
          <t>2. Declaração de IRPF (pessoa física)</t>
        </is>
      </c>
      <c r="B11" s="5" t="n"/>
      <c r="C11" s="5" t="n"/>
    </row>
    <row r="12">
      <c r="A12" s="6" t="inlineStr">
        <is>
          <t>Rendimentos tributáveis (CLT + Cooperativa + Pró-labore)</t>
        </is>
      </c>
      <c r="B12" s="7" t="n">
        <v>130752</v>
      </c>
      <c r="C12" s="7" t="n">
        <v>118815</v>
      </c>
    </row>
    <row r="13">
      <c r="A13" s="6" t="inlineStr">
        <is>
          <t>Rendimentos isentos (lucros distribuídos)</t>
        </is>
      </c>
      <c r="B13" s="7" t="n">
        <v>173483</v>
      </c>
      <c r="C13" s="7" t="n">
        <v>115702</v>
      </c>
    </row>
    <row r="14">
      <c r="A14" s="6" t="inlineStr">
        <is>
          <t>INSS retido (CLT + Cooperativa + Pró-labore) – dedução</t>
        </is>
      </c>
      <c r="B14" s="7" t="n">
        <v>11113.42</v>
      </c>
      <c r="C14" s="7" t="n">
        <v>10400.35</v>
      </c>
    </row>
    <row r="15">
      <c r="A15" s="6" t="inlineStr">
        <is>
          <t>Imposto devido (cálculo da declaração)</t>
        </is>
      </c>
      <c r="B15" s="7" t="n">
        <v>21881.83</v>
      </c>
      <c r="C15" s="7" t="n">
        <v>18960.25</v>
      </c>
    </row>
    <row r="16">
      <c r="A16" s="6" t="inlineStr">
        <is>
          <t>(−) IR retido na fonte – CLT + Cooperativa</t>
        </is>
      </c>
      <c r="B16" s="7" t="n">
        <v>15363.4</v>
      </c>
      <c r="C16" s="7" t="n">
        <v>15343.4</v>
      </c>
    </row>
    <row r="17">
      <c r="A17" s="6" t="inlineStr">
        <is>
          <t>(−) IR retido na fonte – Pró-labore (empresa)</t>
        </is>
      </c>
      <c r="B17" s="10">
        <f>B7</f>
        <v/>
      </c>
      <c r="C17" s="10">
        <f>C7</f>
        <v/>
      </c>
    </row>
    <row r="18">
      <c r="A18" s="8" t="inlineStr">
        <is>
          <t>Saldo de IR a pagar na declaração</t>
        </is>
      </c>
      <c r="B18" s="9">
        <f>B15-B16-B17</f>
        <v/>
      </c>
      <c r="C18" s="9">
        <f>C15-C16-C17</f>
        <v/>
      </c>
    </row>
    <row r="19"/>
    <row r="20">
      <c r="A20" s="4" t="inlineStr">
        <is>
          <t>3. Resultado</t>
        </is>
      </c>
      <c r="B20" s="5" t="n"/>
      <c r="C20" s="5" t="n"/>
    </row>
    <row r="21">
      <c r="A21" s="8" t="inlineStr">
        <is>
          <t>CUSTO TRIBUTÁRIO TOTAL (Empresa + IRPF)</t>
        </is>
      </c>
      <c r="B21" s="9">
        <f>B9+B18</f>
        <v/>
      </c>
      <c r="C21" s="9">
        <f>C9+C18</f>
        <v/>
      </c>
    </row>
    <row r="22">
      <c r="A22" s="11" t="inlineStr">
        <is>
          <t>Melhor opção</t>
        </is>
      </c>
      <c r="B22" s="12">
        <f>IF(B21&lt;C21,"ANEXO III","ANEXO V")</f>
        <v/>
      </c>
      <c r="C22" s="13" t="n"/>
    </row>
    <row r="23">
      <c r="A23" s="11" t="inlineStr">
        <is>
          <t>Economia anual</t>
        </is>
      </c>
      <c r="B23" s="14">
        <f>ABS(B21-C21)</f>
        <v/>
      </c>
      <c r="C23" s="13" t="n"/>
    </row>
    <row r="25">
      <c r="A25" s="15" t="inlineStr">
        <is>
          <t>Legenda: valores em azul = dados informados (editáveis); em preto = fórmulas.</t>
        </is>
      </c>
    </row>
    <row r="26">
      <c r="A26" s="15" t="inlineStr">
        <is>
          <t>Fonte: cálculos manuais da contabilidade e simulação da declaração de IRPF. Valores anuais.</t>
        </is>
      </c>
    </row>
  </sheetData>
  <mergeCells count="2">
    <mergeCell ref="B23:C23"/>
    <mergeCell ref="B22:C22"/>
  </mergeCells>
  <pageMargins left="0.75" right="0.75" top="1" bottom="1" header="0.5" footer="0.5"/>
  <pageSetup orientation="portrait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2026-10-03T19:43:08Z</dcterms:created>
  <dcterms:modified xsi:type="dcterms:W3CDTF">2026-10-03T19:43:08Z</dcterms:modified>
</cp:coreProperties>
</file>