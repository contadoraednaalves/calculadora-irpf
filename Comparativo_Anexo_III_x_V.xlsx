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ab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;&quot;-&quot;"/>
  </numFmts>
  <fonts count="10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sz val="14"/>
    </font>
    <font>
      <name val="Arial"/>
      <sz val="9"/>
    </font>
    <font>
      <name val="Arial"/>
      <b val="1"/>
      <color rgb="00FFFFFF"/>
    </font>
    <font>
      <name val="Arial"/>
      <b val="1"/>
      <color rgb="00006100"/>
      <sz val="12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9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164" fontId="3" fillId="4" borderId="1" pivotButton="0" quotePrefix="0" xfId="0"/>
    <xf numFmtId="164" fontId="2" fillId="0" borderId="1" pivotButton="0" quotePrefix="0" xfId="0"/>
    <xf numFmtId="0" fontId="4" fillId="0" borderId="1" applyAlignment="1" pivotButton="0" quotePrefix="0" xfId="0">
      <alignment vertical="top" wrapText="1"/>
    </xf>
    <xf numFmtId="10" fontId="2" fillId="0" borderId="1" pivotButton="0" quotePrefix="0" xfId="0"/>
    <xf numFmtId="10" fontId="3" fillId="4" borderId="1" pivotButton="0" quotePrefix="0" xfId="0"/>
    <xf numFmtId="1" fontId="3" fillId="4" borderId="1" pivotButton="0" quotePrefix="0" xfId="0"/>
    <xf numFmtId="1" fontId="2" fillId="0" borderId="1" pivotButton="0" quotePrefix="0" xfId="0"/>
    <xf numFmtId="164" fontId="3" fillId="0" borderId="1" pivotButton="0" quotePrefix="0" xfId="0"/>
    <xf numFmtId="0" fontId="1" fillId="5" borderId="1" pivotButton="0" quotePrefix="0" xfId="0"/>
    <xf numFmtId="164" fontId="1" fillId="5" borderId="1" pivotButton="0" quotePrefix="0" xfId="0"/>
    <xf numFmtId="0" fontId="4" fillId="5" borderId="1" applyAlignment="1" pivotButton="0" quotePrefix="0" xfId="0">
      <alignment vertical="top" wrapText="1"/>
    </xf>
    <xf numFmtId="0" fontId="1" fillId="6" borderId="1" pivotButton="0" quotePrefix="0" xfId="0"/>
    <xf numFmtId="164" fontId="8" fillId="6" borderId="1" applyAlignment="1" pivotButton="0" quotePrefix="0" xfId="0">
      <alignment horizontal="center"/>
    </xf>
    <xf numFmtId="0" fontId="0" fillId="6" borderId="1" pivotButton="0" quotePrefix="0" xfId="0"/>
    <xf numFmtId="0" fontId="1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wrapText="1"/>
    </xf>
    <xf numFmtId="0" fontId="9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  <col width="17" customWidth="1" min="4" max="4"/>
    <col width="48" customWidth="1" min="5" max="5"/>
  </cols>
  <sheetData>
    <row r="1">
      <c r="A1" s="1" t="inlineStr">
        <is>
          <t>PLANEJAMENTO TRIBUTÁRIO 2026 – ANEXO III x ANEXO V (versão ajustada)</t>
        </is>
      </c>
    </row>
    <row r="2">
      <c r="A2" s="2" t="inlineStr">
        <is>
          <t>CLT (jan–set) + Cooperativa (jan–dez) + Empresa no Simples (out–dez) · Declaração IRPF 2027 · Cooperativa: distribuição tratada como ISENTA (Cenário 2)</t>
        </is>
      </c>
    </row>
    <row r="3">
      <c r="A3" s="3" t="inlineStr">
        <is>
          <t>Cliente: ______________________________          Edna Alves Assessoria Contábil</t>
        </is>
      </c>
    </row>
    <row r="5">
      <c r="A5" s="4" t="inlineStr">
        <is>
          <t>Descrição</t>
        </is>
      </c>
      <c r="B5" s="4" t="inlineStr">
        <is>
          <t>Anexo III</t>
        </is>
      </c>
      <c r="C5" s="4" t="inlineStr">
        <is>
          <t>Anexo V</t>
        </is>
      </c>
      <c r="D5" s="4" t="inlineStr">
        <is>
          <t>Diferença (V − III)</t>
        </is>
      </c>
      <c r="E5" s="4" t="inlineStr">
        <is>
          <t>Observação</t>
        </is>
      </c>
    </row>
    <row r="6">
      <c r="A6" s="5" t="inlineStr">
        <is>
          <t>1. DADOS DA EMPRESA (células amarelas podem ser alteradas)</t>
        </is>
      </c>
      <c r="B6" s="6" t="n"/>
      <c r="C6" s="6" t="n"/>
      <c r="D6" s="6" t="n"/>
      <c r="E6" s="6" t="n"/>
    </row>
    <row r="7">
      <c r="A7" s="7" t="inlineStr">
        <is>
          <t>Faturamento mensal</t>
        </is>
      </c>
      <c r="B7" s="8" t="n">
        <v>20000</v>
      </c>
      <c r="C7" s="8" t="n">
        <v>20000</v>
      </c>
      <c r="D7" s="9">
        <f>C7-B7</f>
        <v/>
      </c>
      <c r="E7" s="10" t="inlineStr"/>
    </row>
    <row r="8">
      <c r="A8" s="7" t="inlineStr">
        <is>
          <t>Pró-labore mensal</t>
        </is>
      </c>
      <c r="B8" s="8" t="n">
        <v>5600</v>
      </c>
      <c r="C8" s="8" t="n">
        <v>1621</v>
      </c>
      <c r="D8" s="9">
        <f>C8-B8</f>
        <v/>
      </c>
      <c r="E8" s="10" t="inlineStr">
        <is>
          <t>III: 28% do faturamento (Fator R). V: 1 salário mínimo</t>
        </is>
      </c>
    </row>
    <row r="9">
      <c r="A9" s="7" t="inlineStr">
        <is>
          <t>Fator R (pró-labore ÷ faturamento)</t>
        </is>
      </c>
      <c r="B9" s="11">
        <f>B8/B7</f>
        <v/>
      </c>
      <c r="C9" s="11">
        <f>C8/C7</f>
        <v/>
      </c>
      <c r="D9" s="11" t="n"/>
      <c r="E9" s="10" t="inlineStr">
        <is>
          <t>28% ou mais = Anexo III</t>
        </is>
      </c>
    </row>
    <row r="10">
      <c r="A10" s="7" t="inlineStr">
        <is>
          <t>Alíquota efetiva do DAS</t>
        </is>
      </c>
      <c r="B10" s="12" t="n">
        <v>0.073</v>
      </c>
      <c r="C10" s="12" t="n">
        <v>0.16125</v>
      </c>
      <c r="D10" s="11" t="n"/>
      <c r="E10" s="10" t="inlineStr">
        <is>
          <t>Faixa 2 do Simples (LC 123/2006)</t>
        </is>
      </c>
    </row>
    <row r="11">
      <c r="A11" s="7" t="inlineStr">
        <is>
          <t>Meses de empresa em 2026</t>
        </is>
      </c>
      <c r="B11" s="13" t="n">
        <v>3</v>
      </c>
      <c r="C11" s="13" t="n">
        <v>3</v>
      </c>
      <c r="D11" s="14" t="n"/>
      <c r="E11" s="10" t="inlineStr">
        <is>
          <t>Out a dez/2026 – confirmar data do CNPJ</t>
        </is>
      </c>
    </row>
    <row r="12">
      <c r="A12" s="7" t="inlineStr">
        <is>
          <t>INSS do sócio (alíquota)</t>
        </is>
      </c>
      <c r="B12" s="12" t="n">
        <v>0.11</v>
      </c>
      <c r="C12" s="12" t="n">
        <v>0.11</v>
      </c>
      <c r="D12" s="11" t="n"/>
      <c r="E12" s="10" t="inlineStr">
        <is>
          <t>Lei 8.212/91</t>
        </is>
      </c>
    </row>
    <row r="13">
      <c r="A13" s="5" t="inlineStr">
        <is>
          <t>2. EMPRESA – OUT A DEZ/2026</t>
        </is>
      </c>
      <c r="B13" s="6" t="n"/>
      <c r="C13" s="6" t="n"/>
      <c r="D13" s="6" t="n"/>
      <c r="E13" s="6" t="n"/>
    </row>
    <row r="14">
      <c r="A14" s="7" t="inlineStr">
        <is>
          <t>DAS</t>
        </is>
      </c>
      <c r="B14" s="9">
        <f>B7*B10*B11</f>
        <v/>
      </c>
      <c r="C14" s="9">
        <f>C7*C10*C11</f>
        <v/>
      </c>
      <c r="D14" s="9">
        <f>C14-B14</f>
        <v/>
      </c>
      <c r="E14" s="10" t="inlineStr">
        <is>
          <t>Corrigido: Anexo V = R$ 9.675,00</t>
        </is>
      </c>
    </row>
    <row r="15">
      <c r="A15" s="7" t="inlineStr">
        <is>
          <t>Pró-labore recebido</t>
        </is>
      </c>
      <c r="B15" s="9">
        <f>B8*B11</f>
        <v/>
      </c>
      <c r="C15" s="9">
        <f>C8*C11</f>
        <v/>
      </c>
      <c r="D15" s="9">
        <f>C15-B15</f>
        <v/>
      </c>
      <c r="E15" s="10" t="inlineStr"/>
    </row>
    <row r="16">
      <c r="A16" s="7" t="inlineStr">
        <is>
          <t>INSS do sócio (11%)</t>
        </is>
      </c>
      <c r="B16" s="9">
        <f>B15*B12</f>
        <v/>
      </c>
      <c r="C16" s="9">
        <f>C15*C12</f>
        <v/>
      </c>
      <c r="D16" s="9">
        <f>C16-B16</f>
        <v/>
      </c>
      <c r="E16" s="10" t="inlineStr"/>
    </row>
    <row r="17">
      <c r="A17" s="7" t="inlineStr">
        <is>
          <t>IRRF sobre o pró-labore (retido na fonte)</t>
        </is>
      </c>
      <c r="B17" s="15" t="n">
        <v>686.59</v>
      </c>
      <c r="C17" s="15" t="n">
        <v>0</v>
      </c>
      <c r="D17" s="9">
        <f>C17-B17</f>
        <v/>
      </c>
      <c r="E17" s="10" t="inlineStr">
        <is>
          <t>Corrigido: não é 1.540 nem 445,18 (esses são custo MENSAL de IR a 27,5%). No V o pró-labore é isento na fonte</t>
        </is>
      </c>
    </row>
    <row r="18">
      <c r="A18" s="7" t="inlineStr">
        <is>
          <t>Lucros distribuídos (isentos)</t>
        </is>
      </c>
      <c r="B18" s="9">
        <f>(B7-B7*B10-B8)*B11</f>
        <v/>
      </c>
      <c r="C18" s="9">
        <f>(C7-C7*C10-C8)*C11</f>
        <v/>
      </c>
      <c r="D18" s="9">
        <f>C18-B18</f>
        <v/>
      </c>
      <c r="E18" s="10" t="inlineStr">
        <is>
          <t>Faturamento − DAS − pró-labore (sem despesas)</t>
        </is>
      </c>
    </row>
    <row r="19">
      <c r="A19" s="5" t="inlineStr">
        <is>
          <t>3. CLT – JAN A SET/2026 (igual nos dois anexos)</t>
        </is>
      </c>
      <c r="B19" s="6" t="n"/>
      <c r="C19" s="6" t="n"/>
      <c r="D19" s="6" t="n"/>
      <c r="E19" s="6" t="n"/>
    </row>
    <row r="20">
      <c r="A20" s="7" t="inlineStr">
        <is>
          <t>Salários</t>
        </is>
      </c>
      <c r="B20" s="15" t="n">
        <v>94500</v>
      </c>
      <c r="C20" s="15" t="n">
        <v>94500</v>
      </c>
      <c r="D20" s="9">
        <f>C20-B20</f>
        <v/>
      </c>
      <c r="E20" s="10" t="inlineStr"/>
    </row>
    <row r="21">
      <c r="A21" s="7" t="inlineStr">
        <is>
          <t>INSS CLT (no teto)</t>
        </is>
      </c>
      <c r="B21" s="15" t="n">
        <v>8892.82</v>
      </c>
      <c r="C21" s="15" t="n">
        <v>8892.82</v>
      </c>
      <c r="D21" s="9">
        <f>C21-B21</f>
        <v/>
      </c>
      <c r="E21" s="10" t="inlineStr"/>
    </row>
    <row r="22">
      <c r="A22" s="7" t="inlineStr">
        <is>
          <t>IRRF CLT</t>
        </is>
      </c>
      <c r="B22" s="15" t="n">
        <v>15363.4</v>
      </c>
      <c r="C22" s="15" t="n">
        <v>15363.4</v>
      </c>
      <c r="D22" s="9">
        <f>C22-B22</f>
        <v/>
      </c>
      <c r="E22" s="10" t="inlineStr">
        <is>
          <t>Corrigido: no Anexo V estava 15.343,40</t>
        </is>
      </c>
    </row>
    <row r="23">
      <c r="A23" s="7" t="inlineStr">
        <is>
          <t>13º salário proporcional (9/12)</t>
        </is>
      </c>
      <c r="B23" s="15" t="n">
        <v>7875</v>
      </c>
      <c r="C23" s="15" t="n">
        <v>7875</v>
      </c>
      <c r="D23" s="9">
        <f>C23-B23</f>
        <v/>
      </c>
      <c r="E23" s="10" t="inlineStr">
        <is>
          <t>Tributação exclusiva – não entra no ajuste</t>
        </is>
      </c>
    </row>
    <row r="24">
      <c r="A24" s="7" t="inlineStr">
        <is>
          <t>INSS sobre o 13º</t>
        </is>
      </c>
      <c r="B24" s="15" t="n">
        <v>904.01</v>
      </c>
      <c r="C24" s="15" t="n">
        <v>904.01</v>
      </c>
      <c r="D24" s="9">
        <f>C24-B24</f>
        <v/>
      </c>
      <c r="E24" s="10" t="inlineStr"/>
    </row>
    <row r="25">
      <c r="A25" s="7" t="inlineStr">
        <is>
          <t>IR sobre o 13º (definitivo)</t>
        </is>
      </c>
      <c r="B25" s="15" t="n">
        <v>1008.29</v>
      </c>
      <c r="C25" s="15" t="n">
        <v>1008.29</v>
      </c>
      <c r="D25" s="9">
        <f>C25-B25</f>
        <v/>
      </c>
      <c r="E25" s="10" t="inlineStr"/>
    </row>
    <row r="26">
      <c r="A26" s="5" t="inlineStr">
        <is>
          <t>4. COOPERATIVA – JAN A DEZ/2026 (igual nos dois anexos)</t>
        </is>
      </c>
      <c r="B26" s="6" t="n"/>
      <c r="C26" s="6" t="n"/>
      <c r="D26" s="6" t="n"/>
      <c r="E26" s="6" t="n"/>
    </row>
    <row r="27">
      <c r="A27" s="7" t="inlineStr">
        <is>
          <t>Remuneração (tributável)</t>
        </is>
      </c>
      <c r="B27" s="15" t="n">
        <v>19452</v>
      </c>
      <c r="C27" s="15" t="n">
        <v>19452</v>
      </c>
      <c r="D27" s="9">
        <f>C27-B27</f>
        <v/>
      </c>
      <c r="E27" s="10" t="inlineStr">
        <is>
          <t>R$ 1.621 × 12</t>
        </is>
      </c>
    </row>
    <row r="28">
      <c r="A28" s="7" t="inlineStr">
        <is>
          <t>Distribuição (isenta)</t>
        </is>
      </c>
      <c r="B28" s="15" t="n">
        <v>160548</v>
      </c>
      <c r="C28" s="15" t="n">
        <v>160548</v>
      </c>
      <c r="D28" s="9">
        <f>C28-B28</f>
        <v/>
      </c>
      <c r="E28" s="10" t="inlineStr">
        <is>
          <t>R$ 13.379 × 12 – depende do informe da cooperativa</t>
        </is>
      </c>
    </row>
    <row r="29">
      <c r="A29" s="7" t="inlineStr">
        <is>
          <t>INSS cooperativa (20%, só out–dez)</t>
        </is>
      </c>
      <c r="B29" s="15" t="n">
        <v>972.6</v>
      </c>
      <c r="C29" s="15" t="n">
        <v>972.6</v>
      </c>
      <c r="D29" s="9">
        <f>C29-B29</f>
        <v/>
      </c>
      <c r="E29" s="10" t="inlineStr">
        <is>
          <t>Se descontou os 12 meses, recuperar até R$ 2.917,80</t>
        </is>
      </c>
    </row>
    <row r="30">
      <c r="A30" s="7" t="inlineStr">
        <is>
          <t>IRRF cooperativa</t>
        </is>
      </c>
      <c r="B30" s="15" t="n">
        <v>0</v>
      </c>
      <c r="C30" s="15" t="n">
        <v>0</v>
      </c>
      <c r="D30" s="9">
        <f>C30-B30</f>
        <v/>
      </c>
      <c r="E30" s="10" t="inlineStr"/>
    </row>
    <row r="31">
      <c r="A31" s="5" t="inlineStr">
        <is>
          <t>5. DECLARAÇÃO DE IR 2027 (ano-calendário 2026)</t>
        </is>
      </c>
      <c r="B31" s="6" t="n"/>
      <c r="C31" s="6" t="n"/>
      <c r="D31" s="6" t="n"/>
      <c r="E31" s="6" t="n"/>
    </row>
    <row r="32">
      <c r="A32" s="7" t="inlineStr">
        <is>
          <t>Rendimentos tributáveis (CLT + pró-labore + cooperativa)</t>
        </is>
      </c>
      <c r="B32" s="9">
        <f>B20+B15+B27</f>
        <v/>
      </c>
      <c r="C32" s="9">
        <f>C20+C15+C27</f>
        <v/>
      </c>
      <c r="D32" s="9">
        <f>C32-B32</f>
        <v/>
      </c>
      <c r="E32" s="10" t="inlineStr"/>
    </row>
    <row r="33">
      <c r="A33" s="7" t="inlineStr">
        <is>
          <t>Rendimentos isentos (lucros + distribuição cooperativa)</t>
        </is>
      </c>
      <c r="B33" s="9">
        <f>B18+B28</f>
        <v/>
      </c>
      <c r="C33" s="9">
        <f>C18+C28</f>
        <v/>
      </c>
      <c r="D33" s="9">
        <f>C33-B33</f>
        <v/>
      </c>
      <c r="E33" s="10" t="inlineStr">
        <is>
          <t>Corrigido: estava 173.483 (III) e 115.702 (V)</t>
        </is>
      </c>
    </row>
    <row r="34">
      <c r="A34" s="7" t="inlineStr">
        <is>
          <t>INSS dedutível (CLT + sócio + cooperativa)</t>
        </is>
      </c>
      <c r="B34" s="9">
        <f>B21+B16+B29</f>
        <v/>
      </c>
      <c r="C34" s="9">
        <f>C21+C16+C29</f>
        <v/>
      </c>
      <c r="D34" s="9">
        <f>C34-B34</f>
        <v/>
      </c>
      <c r="E34" s="10" t="inlineStr">
        <is>
          <t>Corrigido: no III estava 11.113,42</t>
        </is>
      </c>
    </row>
    <row r="35">
      <c r="A35" s="7" t="inlineStr">
        <is>
          <t>Imposto – modelo COMPLETO</t>
        </is>
      </c>
      <c r="B35" s="9">
        <f>MAX(0,(B32-B34)*INDEX(Tabelas!$B$3:$B$7,MATCH((B32-B34),Tabelas!$A$3:$A$7,1))-INDEX(Tabelas!$C$3:$C$7,MATCH((B32-B34),Tabelas!$A$3:$A$7,1)))</f>
        <v/>
      </c>
      <c r="C35" s="9">
        <f>MAX(0,(C32-C34)*INDEX(Tabelas!$B$3:$B$7,MATCH((C32-C34),Tabelas!$A$3:$A$7,1))-INDEX(Tabelas!$C$3:$C$7,MATCH((C32-C34),Tabelas!$A$3:$A$7,1)))</f>
        <v/>
      </c>
      <c r="D35" s="9">
        <f>C35-B35</f>
        <v/>
      </c>
      <c r="E35" s="10" t="inlineStr">
        <is>
          <t>Era o modelo usado nas anotações (com tabela 2025)</t>
        </is>
      </c>
    </row>
    <row r="36">
      <c r="A36" s="7" t="inlineStr">
        <is>
          <t>Imposto – modelo SIMPLIFICADO</t>
        </is>
      </c>
      <c r="B36" s="9">
        <f>MAX(0,(B32-MIN(B32*Tabelas!$B$10,Tabelas!$B$9))*INDEX(Tabelas!$B$3:$B$7,MATCH((B32-MIN(B32*Tabelas!$B$10,Tabelas!$B$9)),Tabelas!$A$3:$A$7,1))-INDEX(Tabelas!$C$3:$C$7,MATCH((B32-MIN(B32*Tabelas!$B$10,Tabelas!$B$9)),Tabelas!$A$3:$A$7,1)))</f>
        <v/>
      </c>
      <c r="C36" s="9">
        <f>MAX(0,(C32-MIN(C32*Tabelas!$B$10,Tabelas!$B$9))*INDEX(Tabelas!$B$3:$B$7,MATCH((C32-MIN(C32*Tabelas!$B$10,Tabelas!$B$9)),Tabelas!$A$3:$A$7,1))-INDEX(Tabelas!$C$3:$C$7,MATCH((C32-MIN(C32*Tabelas!$B$10,Tabelas!$B$9)),Tabelas!$A$3:$A$7,1)))</f>
        <v/>
      </c>
      <c r="D36" s="9">
        <f>C36-B36</f>
        <v/>
      </c>
      <c r="E36" s="10" t="inlineStr"/>
    </row>
    <row r="37">
      <c r="A37" s="16" t="inlineStr">
        <is>
          <t>IMPOSTO DEVIDO (o menor dos dois)</t>
        </is>
      </c>
      <c r="B37" s="17">
        <f>MIN(B35,B36)</f>
        <v/>
      </c>
      <c r="C37" s="17">
        <f>MIN(C35,C36)</f>
        <v/>
      </c>
      <c r="D37" s="17">
        <f>C37-B37</f>
        <v/>
      </c>
      <c r="E37" s="18" t="inlineStr">
        <is>
          <t>Corrigido: estava 21.881,83 (III) e 18.960,25 (V)</t>
        </is>
      </c>
    </row>
    <row r="38">
      <c r="A38" s="7" t="inlineStr">
        <is>
          <t>(−) IR já descontado na fonte (CLT + pró-labore + cooperativa)</t>
        </is>
      </c>
      <c r="B38" s="9">
        <f>B22+B17+B30</f>
        <v/>
      </c>
      <c r="C38" s="9">
        <f>C22+C17+C30</f>
        <v/>
      </c>
      <c r="D38" s="9">
        <f>C38-B38</f>
        <v/>
      </c>
      <c r="E38" s="10" t="inlineStr"/>
    </row>
    <row r="39">
      <c r="A39" s="16" t="inlineStr">
        <is>
          <t>IR A PAGAR NA DECLARAÇÃO</t>
        </is>
      </c>
      <c r="B39" s="17">
        <f>B37-B38</f>
        <v/>
      </c>
      <c r="C39" s="17">
        <f>C37-C38</f>
        <v/>
      </c>
      <c r="D39" s="17">
        <f>C39-B39</f>
        <v/>
      </c>
      <c r="E39" s="18" t="inlineStr">
        <is>
          <t>Corrigido: estava 4.978,43 (III) e 3.172,25 (V)</t>
        </is>
      </c>
    </row>
    <row r="40">
      <c r="A40" s="5" t="inlineStr">
        <is>
          <t>6. RESULTADO FINAL DO ANO 2026 – TODAS AS FONTES</t>
        </is>
      </c>
      <c r="B40" s="6" t="n"/>
      <c r="C40" s="6" t="n"/>
      <c r="D40" s="6" t="n"/>
      <c r="E40" s="6" t="n"/>
    </row>
    <row r="41">
      <c r="A41" s="7" t="inlineStr">
        <is>
          <t>DAS</t>
        </is>
      </c>
      <c r="B41" s="9">
        <f>B14</f>
        <v/>
      </c>
      <c r="C41" s="9">
        <f>C14</f>
        <v/>
      </c>
      <c r="D41" s="9">
        <f>C41-B41</f>
        <v/>
      </c>
      <c r="E41" s="10" t="inlineStr"/>
    </row>
    <row r="42">
      <c r="A42" s="7" t="inlineStr">
        <is>
          <t>INSS total (CLT + 13º + sócio + cooperativa)</t>
        </is>
      </c>
      <c r="B42" s="9">
        <f>B21+B24+B16+B29</f>
        <v/>
      </c>
      <c r="C42" s="9">
        <f>C21+C24+C16+C29</f>
        <v/>
      </c>
      <c r="D42" s="9">
        <f>C42-B42</f>
        <v/>
      </c>
      <c r="E42" s="10" t="inlineStr"/>
    </row>
    <row r="43">
      <c r="A43" s="7" t="inlineStr">
        <is>
          <t>IR total (devido no ano + 13º)</t>
        </is>
      </c>
      <c r="B43" s="9">
        <f>B37+B25</f>
        <v/>
      </c>
      <c r="C43" s="9">
        <f>C37+C25</f>
        <v/>
      </c>
      <c r="D43" s="9">
        <f>C43-B43</f>
        <v/>
      </c>
      <c r="E43" s="10" t="inlineStr"/>
    </row>
    <row r="44">
      <c r="A44" s="16" t="inlineStr">
        <is>
          <t>TOTAL DE IMPOSTOS NO ANO</t>
        </is>
      </c>
      <c r="B44" s="17">
        <f>SUM(B41:B43)</f>
        <v/>
      </c>
      <c r="C44" s="17">
        <f>SUM(C41:C43)</f>
        <v/>
      </c>
      <c r="D44" s="17">
        <f>C44-B44</f>
        <v/>
      </c>
      <c r="E44" s="18" t="inlineStr"/>
    </row>
    <row r="45">
      <c r="A45" s="7" t="inlineStr">
        <is>
          <t>Renda bruta (CLT + 13º + cooperativa + faturamento)</t>
        </is>
      </c>
      <c r="B45" s="9">
        <f>B20+B23+B27+B28+B7*B11</f>
        <v/>
      </c>
      <c r="C45" s="9">
        <f>C20+C23+C27+C28+C7*C11</f>
        <v/>
      </c>
      <c r="D45" s="9">
        <f>C45-B45</f>
        <v/>
      </c>
      <c r="E45" s="10" t="inlineStr"/>
    </row>
    <row r="46">
      <c r="A46" s="16" t="inlineStr">
        <is>
          <t>QUANTO SOBRA PARA O CLIENTE</t>
        </is>
      </c>
      <c r="B46" s="17">
        <f>B45-B44</f>
        <v/>
      </c>
      <c r="C46" s="17">
        <f>C45-C44</f>
        <v/>
      </c>
      <c r="D46" s="17">
        <f>C46-B46</f>
        <v/>
      </c>
      <c r="E46" s="18" t="inlineStr"/>
    </row>
    <row r="47">
      <c r="A47" s="7" t="inlineStr">
        <is>
          <t>Carga tributária</t>
        </is>
      </c>
      <c r="B47" s="11">
        <f>B44/B45</f>
        <v/>
      </c>
      <c r="C47" s="11">
        <f>C44/C45</f>
        <v/>
      </c>
      <c r="D47" s="11">
        <f>C47-B47</f>
        <v/>
      </c>
      <c r="E47" s="10" t="inlineStr"/>
    </row>
    <row r="49">
      <c r="A49" s="19" t="inlineStr">
        <is>
          <t>MELHOR OPÇÃO</t>
        </is>
      </c>
      <c r="B49" s="20">
        <f>IF(B44&lt;C44,"ANEXO III","ANEXO V")</f>
        <v/>
      </c>
      <c r="C49" s="21" t="n"/>
    </row>
    <row r="50">
      <c r="A50" s="19" t="inlineStr">
        <is>
          <t>ECONOMIA EM 2026 (3 meses de empresa)</t>
        </is>
      </c>
      <c r="B50" s="20">
        <f>ABS(C44-B44)</f>
        <v/>
      </c>
      <c r="C50" s="21" t="n"/>
    </row>
    <row r="51">
      <c r="A51" s="19" t="inlineStr">
        <is>
          <t>ECONOMIA POR MÊS</t>
        </is>
      </c>
      <c r="B51" s="20">
        <f>B50/B11</f>
        <v/>
      </c>
      <c r="C51" s="21" t="n"/>
    </row>
    <row r="53">
      <c r="A53" s="22" t="inlineStr">
        <is>
          <t>7. O QUE FOI CORRIGIDO EM RELAÇÃO ÀS ANOTAÇÕES</t>
        </is>
      </c>
      <c r="B53" s="23" t="n"/>
      <c r="C53" s="23" t="n"/>
      <c r="D53" s="23" t="n"/>
      <c r="E53" s="23" t="n"/>
    </row>
    <row r="54">
      <c r="A54" s="24" t="inlineStr">
        <is>
          <t>Item</t>
        </is>
      </c>
      <c r="B54" s="24" t="inlineStr">
        <is>
          <t>Anotado III</t>
        </is>
      </c>
      <c r="C54" s="24" t="inlineStr">
        <is>
          <t>Anotado V</t>
        </is>
      </c>
      <c r="D54" s="24" t="inlineStr"/>
      <c r="E54" s="24" t="inlineStr">
        <is>
          <t>Correção</t>
        </is>
      </c>
    </row>
    <row r="55">
      <c r="A55" s="3" t="inlineStr">
        <is>
          <t>IR devido</t>
        </is>
      </c>
      <c r="B55" s="25" t="n">
        <v>21881.83</v>
      </c>
      <c r="C55" s="25" t="n">
        <v>18960.25</v>
      </c>
      <c r="E55" s="26" t="inlineStr">
        <is>
          <t>Usado modelo completo + tabela 2025. Correto: simplificado 2026 (20.201,04 / 16.918,37)</t>
        </is>
      </c>
    </row>
    <row r="56">
      <c r="A56" s="3" t="inlineStr">
        <is>
          <t>IR do pró-labore</t>
        </is>
      </c>
      <c r="B56" s="25" t="n">
        <v>1540</v>
      </c>
      <c r="C56" s="25" t="n">
        <v>445.18</v>
      </c>
      <c r="E56" s="26" t="inlineStr">
        <is>
          <t>Era custo mensal a 27,5%. IRRF real em 3 meses: 686,59 / 0,00</t>
        </is>
      </c>
    </row>
    <row r="57">
      <c r="A57" s="3" t="inlineStr">
        <is>
          <t>INSS dedutível</t>
        </is>
      </c>
      <c r="B57" s="25" t="n">
        <v>11113.42</v>
      </c>
      <c r="C57" s="25" t="n">
        <v>10400.35</v>
      </c>
      <c r="E57" s="26" t="inlineStr">
        <is>
          <t>III correto: 11.713,42 (erro de escrita)</t>
        </is>
      </c>
    </row>
    <row r="58">
      <c r="A58" s="3" t="inlineStr">
        <is>
          <t>IRRF CLT</t>
        </is>
      </c>
      <c r="B58" s="25" t="n">
        <v>15363.4</v>
      </c>
      <c r="C58" s="25" t="n">
        <v>15343.4</v>
      </c>
      <c r="E58" s="26" t="inlineStr">
        <is>
          <t>Correto: 15.363,40 nos dois</t>
        </is>
      </c>
    </row>
    <row r="59">
      <c r="A59" s="3" t="inlineStr">
        <is>
          <t>DAS</t>
        </is>
      </c>
      <c r="B59" s="25" t="n">
        <v>4380</v>
      </c>
      <c r="C59" s="25" t="n">
        <v>9675</v>
      </c>
      <c r="E59" s="26" t="inlineStr">
        <is>
          <t>Soma do V: 9.675 + 445,18 + 534,93 = 10.655,11 (anotado 10.659,11)</t>
        </is>
      </c>
    </row>
    <row r="60">
      <c r="A60" s="3" t="inlineStr">
        <is>
          <t>Isentos</t>
        </is>
      </c>
      <c r="B60" s="25" t="n">
        <v>173483</v>
      </c>
      <c r="C60" s="25" t="n">
        <v>115702</v>
      </c>
      <c r="E60" s="26" t="inlineStr">
        <is>
          <t>Correto: 199.368 / 206.010 (faltaram meses de lucro e a cooperativa)</t>
        </is>
      </c>
    </row>
    <row r="61">
      <c r="A61" s="3" t="inlineStr">
        <is>
          <t>IR a pagar</t>
        </is>
      </c>
      <c r="B61" s="25" t="n">
        <v>4978.43</v>
      </c>
      <c r="C61" s="25" t="n">
        <v>3172.25</v>
      </c>
      <c r="E61" s="26" t="inlineStr">
        <is>
          <t>Correto: 4.151,05 / 1.554,97</t>
        </is>
      </c>
    </row>
    <row r="62">
      <c r="A62" s="3" t="inlineStr">
        <is>
          <t>Total anotado</t>
        </is>
      </c>
      <c r="B62" s="25" t="n">
        <v>12746.43</v>
      </c>
      <c r="C62" s="25" t="n">
        <v>13831.36</v>
      </c>
      <c r="E62" s="26" t="inlineStr">
        <is>
          <t>Mesma lógica corrigida: 10.379,05 / 11.764,90 → economia 699,26</t>
        </is>
      </c>
    </row>
    <row r="64">
      <c r="A64" s="22" t="inlineStr">
        <is>
          <t>8. PONTOS DE ATENÇÃO (não estavam nas anotações)</t>
        </is>
      </c>
      <c r="B64" s="23" t="n"/>
      <c r="C64" s="23" t="n"/>
      <c r="D64" s="23" t="n"/>
      <c r="E64" s="23" t="n"/>
    </row>
    <row r="65">
      <c r="A65" s="3" t="inlineStr">
        <is>
          <t>1. Cooperativa: se a distribuição de R$ 13.379/mês for TRIBUTÁVEL, o IR a pagar sobe para cerca de R$ 48.301,75 (R$ 44.151 em jogo). Pedir estatuto, ata e informe.</t>
        </is>
      </c>
    </row>
    <row r="66">
      <c r="A66" s="3" t="inlineStr">
        <is>
          <t>2. Fator R: R$ 5.600 dá exatamente 28%, sem folga. Recomendado pró-labore de R$ 5.800.</t>
        </is>
      </c>
    </row>
    <row r="67">
      <c r="A67" s="3" t="inlineStr">
        <is>
          <t>3. INSS da cooperativa acima do teto (jan–set): até R$ 2.917,80 a recuperar.</t>
        </is>
      </c>
    </row>
    <row r="68">
      <c r="A68" s="3" t="inlineStr">
        <is>
          <t>4. PGBL até 31/12/2026: redução de IR estimada de R$ 2.685 (exige modelo completo).</t>
        </is>
      </c>
    </row>
    <row r="69">
      <c r="A69" s="3" t="inlineStr">
        <is>
          <t>5. 13º salário (R$ 7.875 / IRRF R$ 1.008,29) deve ser lançado na linha do ex-empregador.</t>
        </is>
      </c>
    </row>
    <row r="70">
      <c r="A70" s="3" t="inlineStr">
        <is>
          <t>6. Projeção 2027 (sem CLT): economia do Anexo III de cerca de R$ 7.917 por ano.</t>
        </is>
      </c>
    </row>
    <row r="72">
      <c r="A72" s="27" t="inlineStr">
        <is>
          <t>Legenda: azul/amarelo = dados informados; preto = fórmulas. Fonte: Parecer e Resumo por Fonte 2026 (Edna Alves Assessoria Contábil).</t>
        </is>
      </c>
    </row>
  </sheetData>
  <mergeCells count="9">
    <mergeCell ref="A69:E69"/>
    <mergeCell ref="A65:E65"/>
    <mergeCell ref="B51:C51"/>
    <mergeCell ref="A68:E68"/>
    <mergeCell ref="B50:C50"/>
    <mergeCell ref="A66:E66"/>
    <mergeCell ref="B49:C49"/>
    <mergeCell ref="A70:E70"/>
    <mergeCell ref="A67:E6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4" t="inlineStr">
        <is>
          <t>IRPF ANUAL 2026 (declaração 2027)</t>
        </is>
      </c>
    </row>
    <row r="2">
      <c r="A2" s="24" t="inlineStr">
        <is>
          <t>Base a partir de</t>
        </is>
      </c>
      <c r="B2" s="24" t="inlineStr">
        <is>
          <t>Alíquota</t>
        </is>
      </c>
      <c r="C2" s="24" t="inlineStr">
        <is>
          <t>Dedução</t>
        </is>
      </c>
    </row>
    <row r="3">
      <c r="A3" s="28" t="n">
        <v>0</v>
      </c>
      <c r="B3" s="29" t="n">
        <v>0</v>
      </c>
      <c r="C3" s="28" t="n">
        <v>0</v>
      </c>
    </row>
    <row r="4">
      <c r="A4" s="28" t="n">
        <v>29145.61</v>
      </c>
      <c r="B4" s="29" t="n">
        <v>0.075</v>
      </c>
      <c r="C4" s="28" t="n">
        <v>2185.92</v>
      </c>
    </row>
    <row r="5">
      <c r="A5" s="28" t="n">
        <v>33919.81</v>
      </c>
      <c r="B5" s="29" t="n">
        <v>0.15</v>
      </c>
      <c r="C5" s="28" t="n">
        <v>4729.92</v>
      </c>
    </row>
    <row r="6">
      <c r="A6" s="28" t="n">
        <v>45012.61</v>
      </c>
      <c r="B6" s="29" t="n">
        <v>0.225</v>
      </c>
      <c r="C6" s="28" t="n">
        <v>8105.88</v>
      </c>
    </row>
    <row r="7">
      <c r="A7" s="28" t="n">
        <v>55976.17</v>
      </c>
      <c r="B7" s="29" t="n">
        <v>0.275</v>
      </c>
      <c r="C7" s="28" t="n">
        <v>10904.76</v>
      </c>
    </row>
    <row r="8">
      <c r="A8" s="30" t="n"/>
      <c r="B8" s="30" t="n"/>
      <c r="C8" s="30" t="n"/>
    </row>
    <row r="9">
      <c r="A9" s="30" t="inlineStr">
        <is>
          <t>Desconto simplificado: limite anual</t>
        </is>
      </c>
      <c r="B9" s="28" t="n">
        <v>17640</v>
      </c>
      <c r="C9" s="30" t="n"/>
    </row>
    <row r="10">
      <c r="A10" s="30" t="inlineStr">
        <is>
          <t>Desconto simplificado: percentual</t>
        </is>
      </c>
      <c r="B10" s="29" t="n">
        <v>0.2</v>
      </c>
      <c r="C10" s="30" t="n"/>
    </row>
    <row r="12">
      <c r="A12" s="2" t="inlineStr">
        <is>
          <t>Fonte: Leis 15.191/2025 e 15.270/2025 (mesma tabela do Parecer e da planilha Planejamento_Tributario_2026).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2026-10-03T20:59:44Z</dcterms:created>
  <dcterms:modified xmlns:dcterms="http://purl.org/dc/terms/" xmlns:xsi="http://www.w3.org/2001/XMLSchema-instance" xsi:type="dcterms:W3CDTF">2026-10-03T20:59:44Z</dcterms:modified>
</cp:coreProperties>
</file>